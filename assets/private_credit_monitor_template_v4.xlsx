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hecklist" sheetId="2" state="visible" r:id="rId2"/>
    <sheet xmlns:r="http://schemas.openxmlformats.org/officeDocument/2006/relationships" name="Evidence" sheetId="3" state="visible" r:id="rId3"/>
    <sheet xmlns:r="http://schemas.openxmlformats.org/officeDocument/2006/relationships" name="Lists" sheetId="4" state="hidden" r:id="rId4"/>
    <sheet xmlns:r="http://schemas.openxmlformats.org/officeDocument/2006/relationships" name="AutomationMap" sheetId="5" state="hidden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color rgb="FF6B7280"/>
      <sz val="9"/>
    </font>
    <font>
      <name val="Calibri"/>
      <b val="1"/>
      <color rgb="FFFFFFFF"/>
      <sz val="11"/>
    </font>
    <font>
      <name val="Calibri"/>
      <b val="1"/>
      <color rgb="FF000000"/>
      <sz val="14"/>
    </font>
    <font>
      <name val="Calibri"/>
      <b val="1"/>
      <color rgb="FF000000"/>
      <sz val="18"/>
    </font>
    <font>
      <name val="Calibri"/>
      <color rgb="FF000000"/>
      <sz val="10"/>
    </font>
    <font>
      <name val="Calibri"/>
      <b val="1"/>
      <color rgb="FFFFFFFF"/>
      <sz val="10"/>
    </font>
    <font>
      <name val="Calibri"/>
      <color rgb="FF0000FF"/>
      <sz val="10"/>
    </font>
    <font>
      <name val="Calibri"/>
      <b val="1"/>
      <color rgb="FF000000"/>
      <sz val="10"/>
    </font>
    <font>
      <name val="Calibri"/>
      <charset val="134"/>
      <family val="3"/>
      <sz val="9"/>
      <scheme val="minor"/>
    </font>
    <font>
      <name val="Calibri"/>
      <b val="1"/>
      <color rgb="00FFFFFF"/>
      <sz val="16"/>
    </font>
    <font>
      <name val="Calibri"/>
      <color rgb="000563C1"/>
      <sz val="10"/>
      <u val="single"/>
    </font>
    <font>
      <name val="Calibri"/>
      <color rgb="00666666"/>
      <sz val="10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  <font>
      <b val="1"/>
      <color rgb="00FFFFFF"/>
      <sz val="16"/>
    </font>
    <font>
      <b val="1"/>
      <color rgb="00000000"/>
      <sz val="11"/>
    </font>
    <font>
      <color rgb="00000000"/>
      <sz val="11"/>
    </font>
    <font>
      <b val="1"/>
      <color rgb="00FFFFFF"/>
      <sz val="11"/>
    </font>
    <font>
      <b val="1"/>
      <sz val="12"/>
    </font>
    <font>
      <b val="1"/>
      <color rgb="00FFFFFF"/>
      <sz val="12"/>
    </font>
  </fonts>
  <fills count="23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F3F4F6"/>
      </patternFill>
    </fill>
    <fill>
      <patternFill patternType="solid">
        <fgColor rgb="FF1E3A8A"/>
      </patternFill>
    </fill>
    <fill>
      <patternFill patternType="solid">
        <fgColor rgb="FFCCFBF1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FED7AA"/>
      </patternFill>
    </fill>
    <fill>
      <patternFill patternType="solid">
        <fgColor rgb="FFFAFAFA"/>
      </patternFill>
    </fill>
    <fill>
      <patternFill patternType="solid">
        <fgColor rgb="FFFFFFFF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AF3FA"/>
      </patternFill>
    </fill>
    <fill>
      <patternFill patternType="solid">
        <fgColor rgb="00E7E6E6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1F3A5F"/>
      </patternFill>
    </fill>
    <fill>
      <patternFill patternType="solid">
        <fgColor rgb="00F3F5F7"/>
      </patternFill>
    </fill>
    <fill>
      <patternFill patternType="solid">
        <fgColor rgb="00DCEAF7"/>
      </patternFill>
    </fill>
  </fills>
  <borders count="18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 style="medium">
        <color rgb="FF111827"/>
      </bottom>
      <diagonal/>
    </border>
    <border>
      <left/>
      <right/>
      <top/>
      <bottom style="thin">
        <color rgb="FFD1D5DB"/>
      </bottom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  <border>
      <left style="thin">
        <color rgb="00B7C0C7"/>
      </left>
      <right style="thin">
        <color rgb="00B7C0C7"/>
      </right>
      <top style="thin">
        <color rgb="00B7C0C7"/>
      </top>
      <bottom style="thin">
        <color rgb="00B7C0C7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7" fillId="4" borderId="2" applyAlignment="1" pivotButton="0" quotePrefix="0" xfId="0">
      <alignment horizontal="center" vertical="center" wrapText="1"/>
    </xf>
    <xf numFmtId="0" fontId="6" fillId="11" borderId="3" applyAlignment="1" pivotButton="0" quotePrefix="0" xfId="0">
      <alignment vertical="top" wrapText="1"/>
    </xf>
    <xf numFmtId="0" fontId="8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8" fillId="0" borderId="0" pivotButton="0" quotePrefix="0" xfId="0"/>
    <xf numFmtId="0" fontId="6" fillId="12" borderId="3" applyAlignment="1" pivotButton="0" quotePrefix="0" xfId="0">
      <alignment vertical="top" wrapText="1"/>
    </xf>
    <xf numFmtId="0" fontId="8" fillId="12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center" vertical="center"/>
    </xf>
    <xf numFmtId="0" fontId="9" fillId="7" borderId="0" pivotButton="0" quotePrefix="0" xfId="0"/>
    <xf numFmtId="0" fontId="9" fillId="8" borderId="0" pivotButton="0" quotePrefix="0" xfId="0"/>
    <xf numFmtId="0" fontId="9" fillId="9" borderId="0" pivotButton="0" quotePrefix="0" xfId="0"/>
    <xf numFmtId="0" fontId="6" fillId="0" borderId="0" applyAlignment="1" pivotButton="0" quotePrefix="0" xfId="0">
      <alignment vertical="top" wrapText="1"/>
    </xf>
    <xf numFmtId="0" fontId="0" fillId="0" borderId="0" pivotButton="0" quotePrefix="0" xfId="0"/>
    <xf numFmtId="0" fontId="4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8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3" fillId="4" borderId="0" pivotButton="0" quotePrefix="0" xfId="0"/>
    <xf numFmtId="0" fontId="5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11" fillId="13" borderId="0" applyAlignment="1" pivotButton="0" quotePrefix="0" xfId="0">
      <alignment horizontal="center"/>
    </xf>
    <xf numFmtId="0" fontId="12" fillId="3" borderId="0" applyAlignment="1" pivotButton="0" quotePrefix="0" xfId="0">
      <alignment horizontal="left"/>
    </xf>
    <xf numFmtId="0" fontId="13" fillId="0" borderId="0" applyAlignment="1" pivotButton="0" quotePrefix="0" xfId="0">
      <alignment wrapText="1"/>
    </xf>
    <xf numFmtId="0" fontId="14" fillId="14" borderId="12" applyAlignment="1" pivotButton="0" quotePrefix="0" xfId="0">
      <alignment horizontal="center" vertical="center"/>
    </xf>
    <xf numFmtId="0" fontId="0" fillId="14" borderId="12" pivotButton="0" quotePrefix="0" xfId="0"/>
    <xf numFmtId="0" fontId="14" fillId="15" borderId="12" applyAlignment="1" pivotButton="0" quotePrefix="0" xfId="0">
      <alignment horizontal="center" vertical="center"/>
    </xf>
    <xf numFmtId="0" fontId="0" fillId="15" borderId="12" pivotButton="0" quotePrefix="0" xfId="0"/>
    <xf numFmtId="0" fontId="15" fillId="13" borderId="0" pivotButton="0" quotePrefix="0" xfId="0"/>
    <xf numFmtId="0" fontId="16" fillId="0" borderId="0" applyAlignment="1" pivotButton="0" quotePrefix="0" xfId="0">
      <alignment wrapText="1"/>
    </xf>
    <xf numFmtId="0" fontId="13" fillId="3" borderId="0" applyAlignment="1" pivotButton="0" quotePrefix="0" xfId="0">
      <alignment wrapText="1"/>
    </xf>
    <xf numFmtId="0" fontId="15" fillId="13" borderId="12" applyAlignment="1" pivotButton="0" quotePrefix="0" xfId="0">
      <alignment horizontal="center" vertical="center" wrapText="1"/>
    </xf>
    <xf numFmtId="0" fontId="6" fillId="11" borderId="12" applyAlignment="1" pivotButton="0" quotePrefix="0" xfId="0">
      <alignment vertical="top" wrapText="1"/>
    </xf>
    <xf numFmtId="0" fontId="8" fillId="11" borderId="12" applyAlignment="1" pivotButton="0" quotePrefix="0" xfId="0">
      <alignment vertical="top" wrapText="1"/>
    </xf>
    <xf numFmtId="0" fontId="0" fillId="0" borderId="12" applyAlignment="1" pivotButton="0" quotePrefix="0" xfId="0">
      <alignment vertical="top" wrapText="1"/>
    </xf>
    <xf numFmtId="0" fontId="8" fillId="0" borderId="12" applyAlignment="1" pivotButton="0" quotePrefix="0" xfId="0">
      <alignment vertical="top" wrapText="1"/>
    </xf>
    <xf numFmtId="0" fontId="6" fillId="12" borderId="12" applyAlignment="1" pivotButton="0" quotePrefix="0" xfId="0">
      <alignment vertical="top" wrapText="1"/>
    </xf>
    <xf numFmtId="0" fontId="8" fillId="12" borderId="12" applyAlignment="1" pivotButton="0" quotePrefix="0" xfId="0">
      <alignment vertical="top" wrapText="1"/>
    </xf>
    <xf numFmtId="0" fontId="14" fillId="14" borderId="12" applyAlignment="1" pivotButton="0" quotePrefix="0" xfId="0">
      <alignment wrapText="1"/>
    </xf>
    <xf numFmtId="0" fontId="9" fillId="7" borderId="12" applyAlignment="1" pivotButton="0" quotePrefix="0" xfId="0">
      <alignment wrapText="1"/>
    </xf>
    <xf numFmtId="0" fontId="9" fillId="8" borderId="12" applyAlignment="1" pivotButton="0" quotePrefix="0" xfId="0">
      <alignment wrapText="1"/>
    </xf>
    <xf numFmtId="0" fontId="9" fillId="9" borderId="12" applyAlignment="1" pivotButton="0" quotePrefix="0" xfId="0">
      <alignment wrapText="1"/>
    </xf>
    <xf numFmtId="0" fontId="14" fillId="16" borderId="12" pivotButton="0" quotePrefix="0" xfId="0"/>
    <xf numFmtId="0" fontId="14" fillId="17" borderId="12" pivotButton="0" quotePrefix="0" xfId="0"/>
    <xf numFmtId="0" fontId="14" fillId="18" borderId="12" pivotButton="0" quotePrefix="0" xfId="0"/>
    <xf numFmtId="0" fontId="14" fillId="19" borderId="12" pivotButton="0" quotePrefix="0" xfId="0"/>
    <xf numFmtId="0" fontId="15" fillId="13" borderId="12" pivotButton="0" quotePrefix="0" xfId="0"/>
    <xf numFmtId="0" fontId="17" fillId="20" borderId="0" applyAlignment="1" pivotButton="0" quotePrefix="0" xfId="0">
      <alignment horizontal="center" vertical="center"/>
    </xf>
    <xf numFmtId="0" fontId="18" fillId="18" borderId="0" applyAlignment="1" pivotButton="0" quotePrefix="0" xfId="0">
      <alignment horizontal="left" vertical="center"/>
    </xf>
    <xf numFmtId="0" fontId="19" fillId="21" borderId="0" applyAlignment="1" pivotButton="0" quotePrefix="0" xfId="0">
      <alignment horizontal="left" vertical="center" wrapText="1"/>
    </xf>
    <xf numFmtId="0" fontId="18" fillId="22" borderId="17" applyAlignment="1" pivotButton="0" quotePrefix="0" xfId="0">
      <alignment horizontal="center" vertical="center" wrapText="1"/>
    </xf>
    <xf numFmtId="0" fontId="21" fillId="0" borderId="17" applyAlignment="1" pivotButton="0" quotePrefix="0" xfId="0">
      <alignment horizontal="center" vertical="center" wrapText="1"/>
    </xf>
    <xf numFmtId="0" fontId="0" fillId="21" borderId="0" pivotButton="0" quotePrefix="0" xfId="0"/>
    <xf numFmtId="0" fontId="20" fillId="20" borderId="0" applyAlignment="1" pivotButton="0" quotePrefix="0" xfId="0">
      <alignment horizontal="left" vertical="center"/>
    </xf>
    <xf numFmtId="0" fontId="16" fillId="0" borderId="0" applyAlignment="1" pivotButton="0" quotePrefix="0" xfId="0">
      <alignment vertical="center" wrapText="1"/>
    </xf>
    <xf numFmtId="0" fontId="18" fillId="22" borderId="0" applyAlignment="1" pivotButton="0" quotePrefix="0" xfId="0">
      <alignment horizontal="left" vertical="center"/>
    </xf>
    <xf numFmtId="0" fontId="19" fillId="0" borderId="0" applyAlignment="1" pivotButton="0" quotePrefix="0" xfId="0">
      <alignment vertical="center" wrapText="1"/>
    </xf>
    <xf numFmtId="0" fontId="22" fillId="20" borderId="17" applyAlignment="1" pivotButton="0" quotePrefix="0" xfId="0">
      <alignment horizontal="center" vertical="center" wrapText="1"/>
    </xf>
    <xf numFmtId="0" fontId="6" fillId="21" borderId="17" applyAlignment="1" pivotButton="0" quotePrefix="0" xfId="0">
      <alignment vertical="top" wrapText="1"/>
    </xf>
    <xf numFmtId="0" fontId="6" fillId="11" borderId="17" applyAlignment="1" pivotButton="0" quotePrefix="0" xfId="0">
      <alignment vertical="top" wrapText="1"/>
    </xf>
    <xf numFmtId="0" fontId="8" fillId="11" borderId="17" applyAlignment="1" pivotButton="0" quotePrefix="0" xfId="0">
      <alignment horizontal="center" vertical="center" wrapText="1"/>
    </xf>
    <xf numFmtId="0" fontId="6" fillId="11" borderId="17" applyAlignment="1" pivotButton="0" quotePrefix="0" xfId="0">
      <alignment horizontal="center" vertical="center" wrapText="1"/>
    </xf>
    <xf numFmtId="0" fontId="0" fillId="0" borderId="17" applyAlignment="1" pivotButton="0" quotePrefix="0" xfId="0">
      <alignment vertical="top" wrapText="1"/>
    </xf>
    <xf numFmtId="0" fontId="8" fillId="0" borderId="17" applyAlignment="1" pivotButton="0" quotePrefix="0" xfId="0">
      <alignment vertical="top" wrapText="1"/>
    </xf>
    <xf numFmtId="0" fontId="6" fillId="12" borderId="17" applyAlignment="1" pivotButton="0" quotePrefix="0" xfId="0">
      <alignment vertical="top" wrapText="1"/>
    </xf>
    <xf numFmtId="0" fontId="8" fillId="12" borderId="17" applyAlignment="1" pivotButton="0" quotePrefix="0" xfId="0">
      <alignment horizontal="center" vertical="center" wrapText="1"/>
    </xf>
    <xf numFmtId="0" fontId="6" fillId="12" borderId="17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22" fillId="20" borderId="17" applyAlignment="1" pivotButton="0" quotePrefix="0" xfId="0">
      <alignment horizontal="center" vertical="center"/>
    </xf>
  </cellXfs>
  <cellStyles count="1">
    <cellStyle name="Normal" xfId="0" builtinId="0"/>
  </cellStyles>
  <dxfs count="13">
    <dxf>
      <fill>
        <patternFill>
          <bgColor rgb="FFF3F4F6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OpenAI</author>
  </authors>
  <commentList>
    <comment ref="H6" authorId="0" shapeId="0">
      <text>
        <t>手动选择状态：待更新 / 绿灯 / 黄灯 / 红灯</t>
      </text>
    </comment>
    <comment ref="N6" authorId="0" shapeId="0">
      <text>
        <t>可记录新闻链接、数据口径、下次复核时间或结论。</t>
      </text>
    </comment>
    <comment ref="H7" authorId="0" shapeId="0">
      <text>
        <t>手动选择状态：待更新 / 绿灯 / 黄灯 / 红灯</t>
      </text>
    </comment>
    <comment ref="N7" authorId="0" shapeId="0">
      <text>
        <t>可记录新闻链接、数据口径、下次复核时间或结论。</t>
      </text>
    </comment>
    <comment ref="H8" authorId="0" shapeId="0">
      <text>
        <t>手动选择状态：待更新 / 绿灯 / 黄灯 / 红灯</t>
      </text>
    </comment>
    <comment ref="N8" authorId="0" shapeId="0">
      <text>
        <t>可记录新闻链接、数据口径、下次复核时间或结论。</t>
      </text>
    </comment>
    <comment ref="H9" authorId="0" shapeId="0">
      <text>
        <t>手动选择状态：待更新 / 绿灯 / 黄灯 / 红灯</t>
      </text>
    </comment>
    <comment ref="N9" authorId="0" shapeId="0">
      <text>
        <t>可记录新闻链接、数据口径、下次复核时间或结论。</t>
      </text>
    </comment>
    <comment ref="H10" authorId="0" shapeId="0">
      <text>
        <t>手动选择状态：待更新 / 绿灯 / 黄灯 / 红灯</t>
      </text>
    </comment>
    <comment ref="N10" authorId="0" shapeId="0">
      <text>
        <t>可记录新闻链接、数据口径、下次复核时间或结论。</t>
      </text>
    </comment>
    <comment ref="H11" authorId="0" shapeId="0">
      <text>
        <t>手动选择状态：待更新 / 绿灯 / 黄灯 / 红灯</t>
      </text>
    </comment>
    <comment ref="N11" authorId="0" shapeId="0">
      <text>
        <t>可记录新闻链接、数据口径、下次复核时间或结论。</t>
      </text>
    </comment>
    <comment ref="H12" authorId="0" shapeId="0">
      <text>
        <t>手动选择状态：待更新 / 绿灯 / 黄灯 / 红灯</t>
      </text>
    </comment>
    <comment ref="N12" authorId="0" shapeId="0">
      <text>
        <t>可记录新闻链接、数据口径、下次复核时间或结论。</t>
      </text>
    </comment>
    <comment ref="H13" authorId="0" shapeId="0">
      <text>
        <t>手动选择状态：待更新 / 绿灯 / 黄灯 / 红灯</t>
      </text>
    </comment>
    <comment ref="N13" authorId="0" shapeId="0">
      <text>
        <t>可记录新闻链接、数据口径、下次复核时间或结论。</t>
      </text>
    </comment>
    <comment ref="H14" authorId="0" shapeId="0">
      <text>
        <t>手动选择状态：待更新 / 绿灯 / 黄灯 / 红灯</t>
      </text>
    </comment>
    <comment ref="N14" authorId="0" shapeId="0">
      <text>
        <t>可记录新闻链接、数据口径、下次复核时间或结论。</t>
      </text>
    </comment>
    <comment ref="H15" authorId="0" shapeId="0">
      <text>
        <t>手动选择状态：待更新 / 绿灯 / 黄灯 / 红灯</t>
      </text>
    </comment>
    <comment ref="N15" authorId="0" shapeId="0">
      <text>
        <t>可记录新闻链接、数据口径、下次复核时间或结论。</t>
      </text>
    </comment>
    <comment ref="H16" authorId="0" shapeId="0">
      <text>
        <t>手动选择状态：待更新 / 绿灯 / 黄灯 / 红灯</t>
      </text>
    </comment>
    <comment ref="N16" authorId="0" shapeId="0">
      <text>
        <t>可记录新闻链接、数据口径、下次复核时间或结论。</t>
      </text>
    </comment>
    <comment ref="H17" authorId="0" shapeId="0">
      <text>
        <t>手动选择状态：待更新 / 绿灯 / 黄灯 / 红灯</t>
      </text>
    </comment>
    <comment ref="N17" authorId="0" shapeId="0">
      <text>
        <t>可记录新闻链接、数据口径、下次复核时间或结论。</t>
      </text>
    </comment>
    <comment ref="H18" authorId="0" shapeId="0">
      <text>
        <t>手动选择状态：待更新 / 绿灯 / 黄灯 / 红灯</t>
      </text>
    </comment>
    <comment ref="N18" authorId="0" shapeId="0">
      <text>
        <t>可记录新闻链接、数据口径、下次复核时间或结论。</t>
      </text>
    </comment>
    <comment ref="H19" authorId="0" shapeId="0">
      <text>
        <t>手动选择状态：待更新 / 绿灯 / 黄灯 / 红灯</t>
      </text>
    </comment>
    <comment ref="N19" authorId="0" shapeId="0">
      <text>
        <t>可记录新闻链接、数据口径、下次复核时间或结论。</t>
      </text>
    </comment>
    <comment ref="H20" authorId="0" shapeId="0">
      <text>
        <t>手动选择状态：待更新 / 绿灯 / 黄灯 / 红灯</t>
      </text>
    </comment>
    <comment ref="N20" authorId="0" shapeId="0">
      <text>
        <t>可记录新闻链接、数据口径、下次复核时间或结论。</t>
      </text>
    </comment>
    <comment ref="H21" authorId="0" shapeId="0">
      <text>
        <t>手动选择状态：待更新 / 绿灯 / 黄灯 / 红灯</t>
      </text>
    </comment>
    <comment ref="N21" authorId="0" shapeId="0">
      <text>
        <t>可记录新闻链接、数据口径、下次复核时间或结论。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x.com/DD2939705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CFE8D5"/>
    <outlinePr summaryBelow="1" summaryRight="1"/>
    <pageSetUpPr/>
  </sheetPr>
  <dimension ref="A1:H23"/>
  <sheetViews>
    <sheetView showGridLines="0" tabSelected="1" workbookViewId="0">
      <pane ySplit="3" topLeftCell="A4" activePane="bottomLeft" state="frozen"/>
      <selection pane="bottomLeft" activeCell="A1" sqref="A1:H1"/>
    </sheetView>
  </sheetViews>
  <sheetFormatPr baseColWidth="8" defaultRowHeight="14.4"/>
  <cols>
    <col width="30" customWidth="1" style="13" min="1" max="1"/>
    <col width="14" customWidth="1" style="13" min="2" max="2"/>
    <col width="16" customWidth="1" style="13" min="3" max="7"/>
    <col width="14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</cols>
  <sheetData>
    <row r="1" ht="26" customHeight="1" s="13">
      <c r="A1" s="54" t="inlineStr">
        <is>
          <t>私募信贷危机监测面板</t>
        </is>
      </c>
      <c r="B1" s="54" t="n"/>
      <c r="C1" s="54" t="n"/>
      <c r="D1" s="54" t="n"/>
      <c r="E1" s="54" t="n"/>
      <c r="F1" s="54" t="n"/>
      <c r="G1" s="54" t="n"/>
      <c r="H1" s="54" t="n"/>
    </row>
    <row r="2" ht="24" customHeight="1" s="13">
      <c r="A2" s="55" t="inlineStr">
        <is>
          <t>作者：DD｜X：@DD29397053｜欢迎关注作者 X 账号，会不定期发布投资类 Skill</t>
        </is>
      </c>
      <c r="B2" s="55" t="n"/>
      <c r="C2" s="55" t="n"/>
      <c r="D2" s="55" t="n"/>
      <c r="E2" s="55" t="n"/>
      <c r="F2" s="55" t="n"/>
      <c r="G2" s="55" t="n"/>
      <c r="H2" s="55" t="n"/>
    </row>
    <row r="3" ht="34" customHeight="1" s="13">
      <c r="A3" s="56" t="inlineStr">
        <is>
          <t>用途：自动汇总 Checklist 中 16 项监测结果，并输出整体风险等级。新闻型指标的详细证据请见 Evidence sheet。</t>
        </is>
      </c>
      <c r="B3" s="56" t="n"/>
      <c r="C3" s="56" t="n"/>
      <c r="D3" s="56" t="n"/>
      <c r="E3" s="56" t="n"/>
      <c r="F3" s="56" t="n"/>
      <c r="G3" s="56" t="n"/>
      <c r="H3" s="56" t="n"/>
    </row>
    <row r="4" ht="22" customHeight="1" s="13">
      <c r="A4" s="57" t="inlineStr">
        <is>
          <t>更新日期</t>
        </is>
      </c>
      <c r="B4" s="57" t="n"/>
      <c r="C4" s="57" t="inlineStr">
        <is>
          <t>指标总数</t>
        </is>
      </c>
      <c r="D4" s="57" t="n"/>
      <c r="E4" s="57" t="inlineStr">
        <is>
          <t>绿灯数</t>
        </is>
      </c>
      <c r="F4" s="57" t="n"/>
      <c r="G4" s="57" t="inlineStr">
        <is>
          <t>黄灯数</t>
        </is>
      </c>
      <c r="H4" s="57" t="n"/>
    </row>
    <row r="5" ht="28" customHeight="1" s="13">
      <c r="A5" s="58" t="inlineStr"/>
      <c r="B5" s="58" t="n"/>
      <c r="C5" s="58">
        <f>COUNTA(Checklist!A6:A21)</f>
        <v/>
      </c>
      <c r="D5" s="58" t="n"/>
      <c r="E5" s="58">
        <f>COUNTIF(Checklist!H6:H21,"绿灯")</f>
        <v/>
      </c>
      <c r="F5" s="58" t="n"/>
      <c r="G5" s="58">
        <f>COUNTIF(Checklist!H6:H21,"黄灯")</f>
        <v/>
      </c>
      <c r="H5" s="58" t="n"/>
    </row>
    <row r="6">
      <c r="A6" s="59" t="n"/>
      <c r="B6" s="59" t="n"/>
      <c r="C6" s="59" t="n"/>
      <c r="D6" s="59" t="n"/>
      <c r="E6" s="59" t="n"/>
      <c r="F6" s="59" t="n"/>
      <c r="G6" s="59" t="n"/>
      <c r="H6" s="59" t="n"/>
    </row>
    <row r="7" ht="22" customHeight="1" s="13">
      <c r="A7" s="57" t="inlineStr">
        <is>
          <t>红灯数</t>
        </is>
      </c>
      <c r="B7" s="57" t="n"/>
      <c r="C7" s="57" t="inlineStr">
        <is>
          <t>加权分数</t>
        </is>
      </c>
      <c r="D7" s="57" t="n"/>
      <c r="E7" s="57" t="inlineStr">
        <is>
          <t>整体风险等级</t>
        </is>
      </c>
      <c r="F7" s="57" t="n"/>
      <c r="G7" s="57" t="n"/>
      <c r="H7" s="57" t="n"/>
    </row>
    <row r="8" ht="30" customHeight="1" s="13">
      <c r="A8" s="58">
        <f>COUNTIF(Checklist!H6:H21,"红灯")</f>
        <v/>
      </c>
      <c r="B8" s="58" t="n"/>
      <c r="C8" s="58">
        <f>SUM(Checklist!I6:I21)</f>
        <v/>
      </c>
      <c r="D8" s="58" t="n"/>
      <c r="E8" s="58">
        <f>IF(COUNTIF(Checklist!H6:H21,"红灯")&gt;=2,"红灯",IF(OR(COUNTIF(Checklist!H6:H21,"红灯")=1,COUNTIF(Checklist!H6:H21,"黄灯")&gt;=4,SUM(Checklist!I6:I21)&gt;=8),"黄灯","绿灯"))</f>
        <v/>
      </c>
      <c r="F8" s="58" t="n"/>
      <c r="G8" s="58" t="n"/>
      <c r="H8" s="58" t="n"/>
    </row>
    <row r="9">
      <c r="A9" s="59" t="n"/>
      <c r="B9" s="59" t="n"/>
      <c r="C9" s="59" t="n"/>
      <c r="D9" s="59" t="n"/>
      <c r="E9" s="59" t="n"/>
      <c r="F9" s="59" t="n"/>
      <c r="G9" s="59" t="n"/>
      <c r="H9" s="59" t="n"/>
    </row>
    <row r="10" ht="22" customHeight="1" s="13">
      <c r="A10" s="60" t="inlineStr">
        <is>
          <t>使用说明</t>
        </is>
      </c>
      <c r="B10" s="60" t="n"/>
      <c r="C10" s="60" t="n"/>
      <c r="D10" s="60" t="n"/>
      <c r="E10" s="60" t="n"/>
      <c r="F10" s="60" t="n"/>
      <c r="G10" s="60" t="n"/>
      <c r="H10" s="60" t="n"/>
    </row>
    <row r="11" ht="24" customHeight="1" s="13">
      <c r="A11" s="61" t="inlineStr">
        <is>
          <t>1. 程序会自动更新 Checklist 中 16 项指标的状态、状态依据、证据链接、自动化方式与主数据源。</t>
        </is>
      </c>
    </row>
    <row r="12" ht="24" customHeight="1" s="13">
      <c r="A12" s="61" t="inlineStr">
        <is>
          <t>2. 绿灯=正常；黄灯=压力开始传导；红灯=风险显著；待更新=数据源异常或需人工复核。</t>
        </is>
      </c>
    </row>
    <row r="13" ht="24" customHeight="1" s="13">
      <c r="A13" s="61" t="inlineStr">
        <is>
          <t>3. 新闻型指标的详细媒体标题、日期与链接，统一写入 Evidence sheet，便于点击核验误报。</t>
        </is>
      </c>
    </row>
    <row r="14" ht="24" customHeight="1" s="13">
      <c r="A14" s="61" t="inlineStr">
        <is>
          <t>4. 建议优先查看 Dashboard 的整体风险等级，再下钻到 Checklist 和 Evidence。</t>
        </is>
      </c>
    </row>
    <row r="15" ht="24" customHeight="1" s="13">
      <c r="A15" s="61" t="inlineStr">
        <is>
          <t>5. 可复制本模板，用于美国、欧洲、单一管理人或特定行业的独立跟踪。</t>
        </is>
      </c>
    </row>
    <row r="18" ht="22" customHeight="1" s="13">
      <c r="A18" s="62" t="inlineStr">
        <is>
          <t>建议优先监测的 5 项</t>
        </is>
      </c>
      <c r="B18" s="62" t="n"/>
      <c r="C18" s="62" t="n"/>
      <c r="D18" s="62" t="n"/>
      <c r="E18" s="62" t="n"/>
      <c r="F18" s="62" t="n"/>
      <c r="G18" s="62" t="n"/>
      <c r="H18" s="62" t="n"/>
    </row>
    <row r="19" ht="22" customHeight="1" s="13">
      <c r="A19" s="63" t="inlineStr">
        <is>
          <t>1. 是否新增大型基金限赎 / Gate</t>
        </is>
      </c>
    </row>
    <row r="20" ht="22" customHeight="1" s="13">
      <c r="A20" s="63" t="inlineStr">
        <is>
          <t>2. BDC 是否持续折价扩大</t>
        </is>
      </c>
    </row>
    <row r="21" ht="34" customHeight="1" s="13">
      <c r="A21" s="63" t="inlineStr">
        <is>
          <t>3. HY OAS / 杠杆贷款 / CLO 是否共振走弱</t>
        </is>
      </c>
    </row>
    <row r="22" ht="24" customHeight="1" s="13">
      <c r="A22" s="63" t="inlineStr">
        <is>
          <t>4. 违约、PIK、重组是否从个案变成簇发</t>
        </is>
      </c>
    </row>
    <row r="23" ht="26" customHeight="1" s="13">
      <c r="A23" s="63" t="inlineStr">
        <is>
          <t>5. 银行是否开始实质收紧对相关领域授信</t>
        </is>
      </c>
    </row>
  </sheetData>
  <mergeCells count="9">
    <mergeCell ref="A12:H12"/>
    <mergeCell ref="A3:H3"/>
    <mergeCell ref="A15:H15"/>
    <mergeCell ref="A2:H2"/>
    <mergeCell ref="A10:H10"/>
    <mergeCell ref="A13:H13"/>
    <mergeCell ref="A11:H11"/>
    <mergeCell ref="A14:H14"/>
    <mergeCell ref="A1:H1"/>
  </mergeCells>
  <conditionalFormatting sqref="E8">
    <cfRule type="cellIs" priority="1" operator="equal" dxfId="3">
      <formula>"绿灯"</formula>
    </cfRule>
    <cfRule type="cellIs" priority="2" operator="equal" dxfId="2">
      <formula>"黄灯"</formula>
    </cfRule>
    <cfRule type="cellIs" priority="3" operator="equal" dxfId="1">
      <formula>"红灯"</formula>
    </cfRule>
    <cfRule type="expression" priority="4" dxfId="7">
      <formula>$E$8="绿灯"</formula>
    </cfRule>
    <cfRule type="expression" priority="5" dxfId="8">
      <formula>$E$8="黄灯"</formula>
    </cfRule>
    <cfRule type="expression" priority="6" dxfId="9">
      <formula>$E$8="红灯"</formula>
    </cfRule>
  </conditionalFormatting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00D9EAF7"/>
    <outlinePr summaryBelow="1" summaryRight="1"/>
    <pageSetUpPr/>
  </sheetPr>
  <dimension ref="A1:N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4.4"/>
  <cols>
    <col width="10" customWidth="1" style="13" min="1" max="1"/>
    <col width="10" customWidth="1" style="13" min="2" max="3"/>
    <col width="16" customWidth="1" style="13" min="3" max="3"/>
    <col width="28" customWidth="1" style="13" min="4" max="4"/>
    <col width="11" customWidth="1" style="13" min="5" max="5"/>
    <col width="28" customWidth="1" style="13" min="6" max="7"/>
    <col width="30" customWidth="1" style="13" min="7" max="7"/>
    <col width="10" customWidth="1" style="13" min="8" max="8"/>
    <col width="10" customWidth="1" style="13" min="9" max="9"/>
    <col width="42" customWidth="1" style="13" min="10" max="10"/>
    <col width="20" customWidth="1" style="13" min="11" max="11"/>
    <col width="16" customWidth="1" style="13" min="12" max="12"/>
    <col width="16" customWidth="1" style="13" min="13" max="13"/>
    <col width="18" customWidth="1" style="13" min="14" max="14"/>
  </cols>
  <sheetData>
    <row r="1" ht="21" customHeight="1" s="13">
      <c r="A1" s="28" t="inlineStr">
        <is>
          <t>私募信贷危机监测清单（正式版模板）</t>
        </is>
      </c>
    </row>
    <row r="2">
      <c r="A2" s="37" t="inlineStr">
        <is>
          <t>程序将自动写入状态、状态依据、证据链接、自动化方式与主数据源；新闻型指标的详细媒体证据见 Evidence sheet。</t>
        </is>
      </c>
    </row>
    <row r="5" ht="34" customHeight="1" s="13">
      <c r="A5" s="64" t="inlineStr">
        <is>
          <t>ID</t>
        </is>
      </c>
      <c r="B5" s="64" t="inlineStr">
        <is>
          <t>层级</t>
        </is>
      </c>
      <c r="C5" s="64" t="inlineStr">
        <is>
          <t>类别</t>
        </is>
      </c>
      <c r="D5" s="64" t="inlineStr">
        <is>
          <t>指标</t>
        </is>
      </c>
      <c r="E5" s="64" t="inlineStr">
        <is>
          <t>频率</t>
        </is>
      </c>
      <c r="F5" s="64" t="inlineStr">
        <is>
          <t>看什么</t>
        </is>
      </c>
      <c r="G5" s="64" t="inlineStr">
        <is>
          <t>升级阈值</t>
        </is>
      </c>
      <c r="H5" s="64" t="inlineStr">
        <is>
          <t>状态</t>
        </is>
      </c>
      <c r="I5" s="64" t="inlineStr">
        <is>
          <t>分数</t>
        </is>
      </c>
      <c r="J5" s="64" t="inlineStr">
        <is>
          <t>状态依据（具体数据+来源）</t>
        </is>
      </c>
      <c r="K5" s="64" t="inlineStr">
        <is>
          <t>证据链接 / Evidence IDs</t>
        </is>
      </c>
      <c r="L5" s="64" t="inlineStr">
        <is>
          <t>自动化方式</t>
        </is>
      </c>
      <c r="M5" s="64" t="inlineStr">
        <is>
          <t>主数据源</t>
        </is>
      </c>
      <c r="N5" s="64" t="inlineStr">
        <is>
          <t>备注 / 下一步动作</t>
        </is>
      </c>
    </row>
    <row r="6" ht="34" customHeight="1" s="13">
      <c r="A6" s="65" t="inlineStr">
        <is>
          <t>EW-01</t>
        </is>
      </c>
      <c r="B6" s="65" t="inlineStr">
        <is>
          <t>早期预警</t>
        </is>
      </c>
      <c r="C6" s="65" t="inlineStr">
        <is>
          <t>流动性</t>
        </is>
      </c>
      <c r="D6" s="66" t="inlineStr">
        <is>
          <t>是否出现新的限赎 / Gate</t>
        </is>
      </c>
      <c r="E6" s="66" t="inlineStr">
        <is>
          <t>每周</t>
        </is>
      </c>
      <c r="F6" s="66" t="inlineStr">
        <is>
          <t>大型基金是否新增限赎、延后支付、按比例赎回</t>
        </is>
      </c>
      <c r="G6" s="66" t="inlineStr">
        <is>
          <t>出现 1 家大型机构=黄灯；连续扩散到多家=红灯</t>
        </is>
      </c>
      <c r="H6" s="67" t="inlineStr">
        <is>
          <t>待更新</t>
        </is>
      </c>
      <c r="I6" s="68">
        <f>IF(H6="待更新","",IF(H6="绿灯",0,IF(H6="黄灯",1,IF(H6="红灯",2,""))))</f>
        <v/>
      </c>
      <c r="J6" s="69" t="n"/>
      <c r="K6" s="69" t="n"/>
      <c r="L6" s="69" t="inlineStr">
        <is>
          <t>新闻聚类</t>
        </is>
      </c>
      <c r="M6" s="69" t="inlineStr">
        <is>
          <t>Google News RSS / 主流媒体</t>
        </is>
      </c>
      <c r="N6" s="70" t="n"/>
    </row>
    <row r="7" ht="34" customHeight="1" s="13">
      <c r="A7" s="65" t="inlineStr">
        <is>
          <t>EW-02</t>
        </is>
      </c>
      <c r="B7" s="65" t="inlineStr">
        <is>
          <t>早期预警</t>
        </is>
      </c>
      <c r="C7" s="65" t="inlineStr">
        <is>
          <t>市场价格</t>
        </is>
      </c>
      <c r="D7" s="66" t="inlineStr">
        <is>
          <t>相关资管股是否持续跑输</t>
        </is>
      </c>
      <c r="E7" s="66" t="inlineStr">
        <is>
          <t>每周</t>
        </is>
      </c>
      <c r="F7" s="66" t="inlineStr">
        <is>
          <t>BlackRock / Blackstone / Apollo / Ares / Blue Owl / KKR 是否持续弱于大盘和金融板块</t>
        </is>
      </c>
      <c r="G7" s="66" t="inlineStr">
        <is>
          <t>单周明显跑输=黄灯；连续数周且伴随坏消息=红灯</t>
        </is>
      </c>
      <c r="H7" s="67" t="inlineStr">
        <is>
          <t>待更新</t>
        </is>
      </c>
      <c r="I7" s="68">
        <f>IF(H7="待更新","",IF(H7="绿灯",0,IF(H7="黄灯",1,IF(H7="红灯",2,""))))</f>
        <v/>
      </c>
      <c r="J7" s="69" t="n"/>
      <c r="K7" s="69" t="n"/>
      <c r="L7" s="69" t="inlineStr">
        <is>
          <t>数值直抓</t>
        </is>
      </c>
      <c r="M7" s="69" t="inlineStr">
        <is>
          <t>Stooq</t>
        </is>
      </c>
      <c r="N7" s="70" t="n"/>
    </row>
    <row r="8" ht="34" customHeight="1" s="13">
      <c r="A8" s="65" t="inlineStr">
        <is>
          <t>EW-03</t>
        </is>
      </c>
      <c r="B8" s="65" t="inlineStr">
        <is>
          <t>早期预警</t>
        </is>
      </c>
      <c r="C8" s="65" t="inlineStr">
        <is>
          <t>公开市场映射</t>
        </is>
      </c>
      <c r="D8" s="66" t="inlineStr">
        <is>
          <t>BDC 板块是否扩大折价</t>
        </is>
      </c>
      <c r="E8" s="66" t="inlineStr">
        <is>
          <t>每周</t>
        </is>
      </c>
      <c r="F8" s="66" t="inlineStr">
        <is>
          <t>上市 BDC 相对 NAV 折价是否扩大，是否弱于 HY</t>
        </is>
      </c>
      <c r="G8" s="66" t="inlineStr">
        <is>
          <t>折价明显扩大=黄灯；行业普遍深折价=红灯</t>
        </is>
      </c>
      <c r="H8" s="67" t="inlineStr">
        <is>
          <t>待更新</t>
        </is>
      </c>
      <c r="I8" s="68">
        <f>IF(H8="待更新","",IF(H8="绿灯",0,IF(H8="黄灯",1,IF(H8="红灯",2,""))))</f>
        <v/>
      </c>
      <c r="J8" s="69" t="n"/>
      <c r="K8" s="69" t="n"/>
      <c r="L8" s="69" t="inlineStr">
        <is>
          <t>代理数值</t>
        </is>
      </c>
      <c r="M8" s="69" t="inlineStr">
        <is>
          <t>Stooq</t>
        </is>
      </c>
      <c r="N8" s="70" t="n"/>
    </row>
    <row r="9" ht="34" customHeight="1" s="13">
      <c r="A9" s="65" t="inlineStr">
        <is>
          <t>EW-04</t>
        </is>
      </c>
      <c r="B9" s="65" t="inlineStr">
        <is>
          <t>早期预警</t>
        </is>
      </c>
      <c r="C9" s="65" t="inlineStr">
        <is>
          <t>信用情绪</t>
        </is>
      </c>
      <c r="D9" s="66" t="inlineStr">
        <is>
          <t>HY / 杠杆贷款 / CLO 是否同步走弱</t>
        </is>
      </c>
      <c r="E9" s="66" t="inlineStr">
        <is>
          <t>每周</t>
        </is>
      </c>
      <c r="F9" s="66" t="inlineStr">
        <is>
          <t>HY OAS、杠杆贷款价格、CLO BBB / BB 利差</t>
        </is>
      </c>
      <c r="G9" s="66" t="inlineStr">
        <is>
          <t>一个市场走弱=黄灯；多个子市场共振=红灯</t>
        </is>
      </c>
      <c r="H9" s="67" t="inlineStr">
        <is>
          <t>待更新</t>
        </is>
      </c>
      <c r="I9" s="68">
        <f>IF(H9="待更新","",IF(H9="绿灯",0,IF(H9="黄灯",1,IF(H9="红灯",2,""))))</f>
        <v/>
      </c>
      <c r="J9" s="69" t="n"/>
      <c r="K9" s="69" t="n"/>
      <c r="L9" s="69" t="inlineStr">
        <is>
          <t>数值直抓</t>
        </is>
      </c>
      <c r="M9" s="69" t="inlineStr">
        <is>
          <t>FRED + Stooq</t>
        </is>
      </c>
      <c r="N9" s="70" t="n"/>
    </row>
    <row r="10" ht="34" customHeight="1" s="13">
      <c r="A10" s="65" t="inlineStr">
        <is>
          <t>EW-05</t>
        </is>
      </c>
      <c r="B10" s="65" t="inlineStr">
        <is>
          <t>早期预警</t>
        </is>
      </c>
      <c r="C10" s="65" t="inlineStr">
        <is>
          <t>舆情密度</t>
        </is>
      </c>
      <c r="D10" s="66" t="inlineStr">
        <is>
          <t>坏消息是否从个案变成簇发</t>
        </is>
      </c>
      <c r="E10" s="66" t="inlineStr">
        <is>
          <t>每周</t>
        </is>
      </c>
      <c r="F10" s="66" t="inlineStr">
        <is>
          <t>欺诈、估值争议、违约、失真抵押品、提款冻结等新闻数量</t>
        </is>
      </c>
      <c r="G10" s="66" t="inlineStr">
        <is>
          <t>单点个案=黄灯；连续簇发=红灯</t>
        </is>
      </c>
      <c r="H10" s="67" t="inlineStr">
        <is>
          <t>待更新</t>
        </is>
      </c>
      <c r="I10" s="68">
        <f>IF(H10="待更新","",IF(H10="绿灯",0,IF(H10="黄灯",1,IF(H10="红灯",2,""))))</f>
        <v/>
      </c>
      <c r="J10" s="69" t="n"/>
      <c r="K10" s="69" t="n"/>
      <c r="L10" s="69" t="inlineStr">
        <is>
          <t>新闻聚类</t>
        </is>
      </c>
      <c r="M10" s="69" t="inlineStr">
        <is>
          <t>Google News RSS / 主流媒体</t>
        </is>
      </c>
      <c r="N10" s="70" t="n"/>
    </row>
    <row r="11" ht="34" customHeight="1" s="13">
      <c r="A11" s="65" t="inlineStr">
        <is>
          <t>TR-01</t>
        </is>
      </c>
      <c r="B11" s="65" t="inlineStr">
        <is>
          <t>中期传导</t>
        </is>
      </c>
      <c r="C11" s="65" t="inlineStr">
        <is>
          <t>信用质量</t>
        </is>
      </c>
      <c r="D11" s="71" t="inlineStr">
        <is>
          <t>违约 / 重组 / 展期是否增加</t>
        </is>
      </c>
      <c r="E11" s="71" t="inlineStr">
        <is>
          <t>每月</t>
        </is>
      </c>
      <c r="F11" s="71" t="inlineStr">
        <is>
          <t>借款人违约、amend-and-extend、债务交换、重组案例</t>
        </is>
      </c>
      <c r="G11" s="71" t="inlineStr">
        <is>
          <t>违约或重组明显增多=黄灯；行业性增加=红灯</t>
        </is>
      </c>
      <c r="H11" s="72" t="inlineStr">
        <is>
          <t>待更新</t>
        </is>
      </c>
      <c r="I11" s="73">
        <f>IF(H11="待更新","",IF(H11="绿灯",0,IF(H11="黄灯",1,IF(H11="红灯",2,""))))</f>
        <v/>
      </c>
      <c r="J11" s="69" t="n"/>
      <c r="K11" s="69" t="n"/>
      <c r="L11" s="69" t="inlineStr">
        <is>
          <t>新闻聚类</t>
        </is>
      </c>
      <c r="M11" s="69" t="inlineStr">
        <is>
          <t>Google News RSS / 主流媒体</t>
        </is>
      </c>
      <c r="N11" s="70" t="n"/>
    </row>
    <row r="12" ht="34" customHeight="1" s="13">
      <c r="A12" s="65" t="inlineStr">
        <is>
          <t>TR-02</t>
        </is>
      </c>
      <c r="B12" s="65" t="inlineStr">
        <is>
          <t>中期传导</t>
        </is>
      </c>
      <c r="C12" s="65" t="inlineStr">
        <is>
          <t>现金流</t>
        </is>
      </c>
      <c r="D12" s="71" t="inlineStr">
        <is>
          <t>PIK 利息是否增多</t>
        </is>
      </c>
      <c r="E12" s="71" t="inlineStr">
        <is>
          <t>每月</t>
        </is>
      </c>
      <c r="F12" s="71" t="inlineStr">
        <is>
          <t>越来越多借款人不付现金利息而改为 PIK</t>
        </is>
      </c>
      <c r="G12" s="71" t="inlineStr">
        <is>
          <t>PIK 上升=黄灯；PIK 成为常见做法=红灯</t>
        </is>
      </c>
      <c r="H12" s="72" t="inlineStr">
        <is>
          <t>待更新</t>
        </is>
      </c>
      <c r="I12" s="73">
        <f>IF(H12="待更新","",IF(H12="绿灯",0,IF(H12="黄灯",1,IF(H12="红灯",2,""))))</f>
        <v/>
      </c>
      <c r="J12" s="69" t="n"/>
      <c r="K12" s="69" t="n"/>
      <c r="L12" s="69" t="inlineStr">
        <is>
          <t>新闻聚类</t>
        </is>
      </c>
      <c r="M12" s="69" t="inlineStr">
        <is>
          <t>Google News RSS / 主流媒体</t>
        </is>
      </c>
      <c r="N12" s="70" t="n"/>
    </row>
    <row r="13" ht="34" customHeight="1" s="13">
      <c r="A13" s="65" t="inlineStr">
        <is>
          <t>TR-03</t>
        </is>
      </c>
      <c r="B13" s="65" t="inlineStr">
        <is>
          <t>中期传导</t>
        </is>
      </c>
      <c r="C13" s="65" t="inlineStr">
        <is>
          <t>估值</t>
        </is>
      </c>
      <c r="D13" s="71" t="inlineStr">
        <is>
          <t>NAV 是否开始连续下修</t>
        </is>
      </c>
      <c r="E13" s="71" t="inlineStr">
        <is>
          <t>每月 / 每季</t>
        </is>
      </c>
      <c r="F13" s="71" t="inlineStr">
        <is>
          <t>季度 NAV 是否跟随公开市场信用重定价而下调</t>
        </is>
      </c>
      <c r="G13" s="71" t="inlineStr">
        <is>
          <t>单次明显下修=黄灯；连续下修且折价扩大=红灯</t>
        </is>
      </c>
      <c r="H13" s="72" t="inlineStr">
        <is>
          <t>待更新</t>
        </is>
      </c>
      <c r="I13" s="73">
        <f>IF(H13="待更新","",IF(H13="绿灯",0,IF(H13="黄灯",1,IF(H13="红灯",2,""))))</f>
        <v/>
      </c>
      <c r="J13" s="69" t="n"/>
      <c r="K13" s="69" t="n"/>
      <c r="L13" s="69" t="inlineStr">
        <is>
          <t>代理数值</t>
        </is>
      </c>
      <c r="M13" s="69" t="inlineStr">
        <is>
          <t>Stooq</t>
        </is>
      </c>
      <c r="N13" s="70" t="n"/>
    </row>
    <row r="14" ht="34" customHeight="1" s="13">
      <c r="A14" s="65" t="inlineStr">
        <is>
          <t>TR-04</t>
        </is>
      </c>
      <c r="B14" s="65" t="inlineStr">
        <is>
          <t>中期传导</t>
        </is>
      </c>
      <c r="C14" s="65" t="inlineStr">
        <is>
          <t>募资</t>
        </is>
      </c>
      <c r="D14" s="71" t="inlineStr">
        <is>
          <t>新基金募资是否明显放缓</t>
        </is>
      </c>
      <c r="E14" s="71" t="inlineStr">
        <is>
          <t>每月</t>
        </is>
      </c>
      <c r="F14" s="71" t="inlineStr">
        <is>
          <t>募资周期拉长、规模缩水、零售 / 高净值净流入转负</t>
        </is>
      </c>
      <c r="G14" s="71" t="inlineStr">
        <is>
          <t>募资放缓=黄灯；普遍募资困难=红灯</t>
        </is>
      </c>
      <c r="H14" s="72" t="inlineStr">
        <is>
          <t>待更新</t>
        </is>
      </c>
      <c r="I14" s="73">
        <f>IF(H14="待更新","",IF(H14="绿灯",0,IF(H14="黄灯",1,IF(H14="红灯",2,""))))</f>
        <v/>
      </c>
      <c r="J14" s="69" t="n"/>
      <c r="K14" s="69" t="n"/>
      <c r="L14" s="69" t="inlineStr">
        <is>
          <t>新闻聚类</t>
        </is>
      </c>
      <c r="M14" s="69" t="inlineStr">
        <is>
          <t>Google News RSS / 主流媒体</t>
        </is>
      </c>
      <c r="N14" s="70" t="n"/>
    </row>
    <row r="15" ht="34" customHeight="1" s="13">
      <c r="A15" s="65" t="inlineStr">
        <is>
          <t>TR-05</t>
        </is>
      </c>
      <c r="B15" s="65" t="inlineStr">
        <is>
          <t>中期传导</t>
        </is>
      </c>
      <c r="C15" s="65" t="inlineStr">
        <is>
          <t>交易条款</t>
        </is>
      </c>
      <c r="D15" s="71" t="inlineStr">
        <is>
          <t>新交易条款是否重新收紧</t>
        </is>
      </c>
      <c r="E15" s="71" t="inlineStr">
        <is>
          <t>每月</t>
        </is>
      </c>
      <c r="F15" s="71" t="inlineStr">
        <is>
          <t>票息上升、covenant 收紧、借款人融资更难</t>
        </is>
      </c>
      <c r="G15" s="71" t="inlineStr">
        <is>
          <t>条款明显变严=黄灯；新交易大量搁置=红灯</t>
        </is>
      </c>
      <c r="H15" s="72" t="inlineStr">
        <is>
          <t>待更新</t>
        </is>
      </c>
      <c r="I15" s="73">
        <f>IF(H15="待更新","",IF(H15="绿灯",0,IF(H15="黄灯",1,IF(H15="红灯",2,""))))</f>
        <v/>
      </c>
      <c r="J15" s="69" t="n"/>
      <c r="K15" s="69" t="n"/>
      <c r="L15" s="69" t="inlineStr">
        <is>
          <t>新闻聚类</t>
        </is>
      </c>
      <c r="M15" s="69" t="inlineStr">
        <is>
          <t>Google News RSS / 主流媒体</t>
        </is>
      </c>
      <c r="N15" s="70" t="n"/>
    </row>
    <row r="16" ht="34" customHeight="1" s="13">
      <c r="A16" s="65" t="inlineStr">
        <is>
          <t>TR-06</t>
        </is>
      </c>
      <c r="B16" s="65" t="inlineStr">
        <is>
          <t>中期传导</t>
        </is>
      </c>
      <c r="C16" s="65" t="inlineStr">
        <is>
          <t>资金链</t>
        </is>
      </c>
      <c r="D16" s="71" t="inlineStr">
        <is>
          <t>仓储融资 / 回购 / 过桥融资成本是否抬升</t>
        </is>
      </c>
      <c r="E16" s="71" t="inlineStr">
        <is>
          <t>每月</t>
        </is>
      </c>
      <c r="F16" s="71" t="inlineStr">
        <is>
          <t>warehouse financing 是否更贵、更短、更难续</t>
        </is>
      </c>
      <c r="G16" s="71" t="inlineStr">
        <is>
          <t>融资成本上升=黄灯；续作困难=红灯</t>
        </is>
      </c>
      <c r="H16" s="72" t="inlineStr">
        <is>
          <t>待更新</t>
        </is>
      </c>
      <c r="I16" s="73">
        <f>IF(H16="待更新","",IF(H16="绿灯",0,IF(H16="黄灯",1,IF(H16="红灯",2,""))))</f>
        <v/>
      </c>
      <c r="J16" s="69" t="n"/>
      <c r="K16" s="69" t="n"/>
      <c r="L16" s="69" t="inlineStr">
        <is>
          <t>代理数值</t>
        </is>
      </c>
      <c r="M16" s="69" t="inlineStr">
        <is>
          <t>FRED</t>
        </is>
      </c>
      <c r="N16" s="70" t="n"/>
    </row>
    <row r="17" ht="34" customHeight="1" s="13">
      <c r="A17" s="65" t="inlineStr">
        <is>
          <t>SY-01</t>
        </is>
      </c>
      <c r="B17" s="65" t="inlineStr">
        <is>
          <t>系统确认</t>
        </is>
      </c>
      <c r="C17" s="65" t="inlineStr">
        <is>
          <t>银行传导</t>
        </is>
      </c>
      <c r="D17" s="66" t="inlineStr">
        <is>
          <t>银行是否收紧对相关领域授信</t>
        </is>
      </c>
      <c r="E17" s="66" t="inlineStr">
        <is>
          <t>每季</t>
        </is>
      </c>
      <c r="F17" s="66" t="inlineStr">
        <is>
          <t>中型企业、杠杆融资、相关非银授信标准是否收紧</t>
        </is>
      </c>
      <c r="G17" s="66" t="inlineStr">
        <is>
          <t>授信收紧=黄灯；明显抽贷 / 断贷=红灯</t>
        </is>
      </c>
      <c r="H17" s="67" t="inlineStr">
        <is>
          <t>待更新</t>
        </is>
      </c>
      <c r="I17" s="68">
        <f>IF(H17="待更新","",IF(H17="绿灯",0,IF(H17="黄灯",1,IF(H17="红灯",2,""))))</f>
        <v/>
      </c>
      <c r="J17" s="69" t="n"/>
      <c r="K17" s="69" t="n"/>
      <c r="L17" s="69" t="inlineStr">
        <is>
          <t>代理数值</t>
        </is>
      </c>
      <c r="M17" s="69" t="inlineStr">
        <is>
          <t>FRED + Stooq</t>
        </is>
      </c>
      <c r="N17" s="70" t="n"/>
    </row>
    <row r="18" ht="34" customHeight="1" s="13">
      <c r="A18" s="65" t="inlineStr">
        <is>
          <t>SY-02</t>
        </is>
      </c>
      <c r="B18" s="65" t="inlineStr">
        <is>
          <t>系统确认</t>
        </is>
      </c>
      <c r="C18" s="65" t="inlineStr">
        <is>
          <t>银行资产质量</t>
        </is>
      </c>
      <c r="D18" s="66" t="inlineStr">
        <is>
          <t>银行拨备 / 风险准备是否上升</t>
        </is>
      </c>
      <c r="E18" s="66" t="inlineStr">
        <is>
          <t>每季</t>
        </is>
      </c>
      <c r="F18" s="66" t="inlineStr">
        <is>
          <t>银行是否提高拨备并点名相关风险敞口</t>
        </is>
      </c>
      <c r="G18" s="66" t="inlineStr">
        <is>
          <t>拨备上升=黄灯；多家集中提高=红灯</t>
        </is>
      </c>
      <c r="H18" s="67" t="inlineStr">
        <is>
          <t>待更新</t>
        </is>
      </c>
      <c r="I18" s="68">
        <f>IF(H18="待更新","",IF(H18="绿灯",0,IF(H18="黄灯",1,IF(H18="红灯",2,""))))</f>
        <v/>
      </c>
      <c r="J18" s="69" t="n"/>
      <c r="K18" s="69" t="n"/>
      <c r="L18" s="69" t="inlineStr">
        <is>
          <t>混合：新闻+代理数值</t>
        </is>
      </c>
      <c r="M18" s="69" t="inlineStr">
        <is>
          <t>Google News RSS + Stooq</t>
        </is>
      </c>
      <c r="N18" s="70" t="n"/>
    </row>
    <row r="19" ht="34" customHeight="1" s="13">
      <c r="A19" s="65" t="inlineStr">
        <is>
          <t>SY-03</t>
        </is>
      </c>
      <c r="B19" s="65" t="inlineStr">
        <is>
          <t>系统确认</t>
        </is>
      </c>
      <c r="C19" s="65" t="inlineStr">
        <is>
          <t>长钱配置</t>
        </is>
      </c>
      <c r="D19" s="66" t="inlineStr">
        <is>
          <t>保险 / 养老金是否减配</t>
        </is>
      </c>
      <c r="E19" s="66" t="inlineStr">
        <is>
          <t>每季</t>
        </is>
      </c>
      <c r="F19" s="66" t="inlineStr">
        <is>
          <t>长期资金是否降低私募信贷与相关非银配置</t>
        </is>
      </c>
      <c r="G19" s="66" t="inlineStr">
        <is>
          <t>单一机构减配=黄灯；行业性减配=红灯</t>
        </is>
      </c>
      <c r="H19" s="67" t="inlineStr">
        <is>
          <t>待更新</t>
        </is>
      </c>
      <c r="I19" s="68">
        <f>IF(H19="待更新","",IF(H19="绿灯",0,IF(H19="黄灯",1,IF(H19="红灯",2,""))))</f>
        <v/>
      </c>
      <c r="J19" s="69" t="n"/>
      <c r="K19" s="69" t="n"/>
      <c r="L19" s="69" t="inlineStr">
        <is>
          <t>新闻聚类</t>
        </is>
      </c>
      <c r="M19" s="69" t="inlineStr">
        <is>
          <t>Google News RSS / 主流媒体</t>
        </is>
      </c>
      <c r="N19" s="70" t="n"/>
    </row>
    <row r="20" ht="34" customHeight="1" s="13">
      <c r="A20" s="65" t="inlineStr">
        <is>
          <t>SY-04</t>
        </is>
      </c>
      <c r="B20" s="65" t="inlineStr">
        <is>
          <t>系统确认</t>
        </is>
      </c>
      <c r="C20" s="65" t="inlineStr">
        <is>
          <t>信用外溢</t>
        </is>
      </c>
      <c r="D20" s="66" t="inlineStr">
        <is>
          <t>压力是否扩散到 IG / 银行信用利差</t>
        </is>
      </c>
      <c r="E20" s="66" t="inlineStr">
        <is>
          <t>每周 / 每月</t>
        </is>
      </c>
      <c r="F20" s="66" t="inlineStr">
        <is>
          <t>问题是否从私募信贷扩散至更广信用市场</t>
        </is>
      </c>
      <c r="G20" s="66" t="inlineStr">
        <is>
          <t>信用外溢=黄灯；广泛走阔=红灯</t>
        </is>
      </c>
      <c r="H20" s="67" t="inlineStr">
        <is>
          <t>待更新</t>
        </is>
      </c>
      <c r="I20" s="68">
        <f>IF(H20="待更新","",IF(H20="绿灯",0,IF(H20="黄灯",1,IF(H20="红灯",2,""))))</f>
        <v/>
      </c>
      <c r="J20" s="69" t="n"/>
      <c r="K20" s="69" t="n"/>
      <c r="L20" s="69" t="inlineStr">
        <is>
          <t>数值直抓</t>
        </is>
      </c>
      <c r="M20" s="69" t="inlineStr">
        <is>
          <t>FRED + Stooq</t>
        </is>
      </c>
      <c r="N20" s="70" t="n"/>
    </row>
    <row r="21" ht="34" customHeight="1" s="13">
      <c r="A21" s="65" t="inlineStr">
        <is>
          <t>SY-05</t>
        </is>
      </c>
      <c r="B21" s="65" t="inlineStr">
        <is>
          <t>系统确认</t>
        </is>
      </c>
      <c r="C21" s="65" t="inlineStr">
        <is>
          <t>实体经济</t>
        </is>
      </c>
      <c r="D21" s="66" t="inlineStr">
        <is>
          <t>中小企业再融资是否明显失败</t>
        </is>
      </c>
      <c r="E21" s="66" t="inlineStr">
        <is>
          <t>每季</t>
        </is>
      </c>
      <c r="F21" s="66" t="inlineStr">
        <is>
          <t>再融资失败率、破产、裁员、CAPEX 收缩</t>
        </is>
      </c>
      <c r="G21" s="66" t="inlineStr">
        <is>
          <t>融资失败增多=黄灯；实体信用收缩明显=红灯</t>
        </is>
      </c>
      <c r="H21" s="67" t="inlineStr">
        <is>
          <t>待更新</t>
        </is>
      </c>
      <c r="I21" s="68">
        <f>IF(H21="待更新","",IF(H21="绿灯",0,IF(H21="黄灯",1,IF(H21="红灯",2,""))))</f>
        <v/>
      </c>
      <c r="J21" s="69" t="n"/>
      <c r="K21" s="69" t="n"/>
      <c r="L21" s="69" t="inlineStr">
        <is>
          <t>新闻聚类</t>
        </is>
      </c>
      <c r="M21" s="69" t="inlineStr">
        <is>
          <t>Google News RSS / 主流媒体</t>
        </is>
      </c>
      <c r="N21" s="70" t="n"/>
    </row>
    <row r="24">
      <c r="A24" s="45" t="inlineStr">
        <is>
          <t>判定建议</t>
        </is>
      </c>
      <c r="B24" s="74" t="n"/>
      <c r="C24" s="74" t="n"/>
      <c r="D24" s="74" t="n"/>
      <c r="E24" s="74" t="n"/>
      <c r="F24" s="74" t="n"/>
      <c r="G24" s="74" t="n"/>
      <c r="H24" s="74" t="n"/>
      <c r="I24" s="74" t="n"/>
      <c r="J24" s="74" t="n"/>
      <c r="K24" s="74" t="n"/>
      <c r="L24" s="74" t="n"/>
      <c r="M24" s="74" t="n"/>
      <c r="N24" s="75" t="n"/>
    </row>
    <row r="25">
      <c r="A25" s="46" t="inlineStr">
        <is>
          <t>绿灯</t>
        </is>
      </c>
      <c r="B25" s="74" t="n"/>
      <c r="C25" s="74" t="n"/>
      <c r="D25" s="74" t="n"/>
      <c r="E25" s="74" t="n"/>
      <c r="F25" s="74" t="n"/>
      <c r="G25" s="74" t="n"/>
      <c r="H25" s="74" t="n"/>
      <c r="I25" s="74" t="n"/>
      <c r="J25" s="74" t="n"/>
      <c r="K25" s="74" t="n"/>
      <c r="L25" s="74" t="n"/>
      <c r="M25" s="74" t="n"/>
      <c r="N25" s="75" t="n"/>
    </row>
    <row r="26">
      <c r="A26" s="47" t="inlineStr">
        <is>
          <t>黄灯</t>
        </is>
      </c>
      <c r="B26" s="74" t="n"/>
      <c r="C26" s="74" t="n"/>
      <c r="D26" s="74" t="n"/>
      <c r="E26" s="74" t="n"/>
      <c r="F26" s="74" t="n"/>
      <c r="G26" s="74" t="n"/>
      <c r="H26" s="74" t="n"/>
      <c r="I26" s="74" t="n"/>
      <c r="J26" s="74" t="n"/>
      <c r="K26" s="74" t="n"/>
      <c r="L26" s="74" t="n"/>
      <c r="M26" s="74" t="n"/>
      <c r="N26" s="75" t="n"/>
    </row>
    <row r="27">
      <c r="A27" s="48" t="inlineStr">
        <is>
          <t>红灯</t>
        </is>
      </c>
      <c r="B27" s="74" t="n"/>
      <c r="C27" s="74" t="n"/>
      <c r="D27" s="74" t="n"/>
      <c r="E27" s="74" t="n"/>
      <c r="F27" s="74" t="n"/>
      <c r="G27" s="74" t="n"/>
      <c r="H27" s="74" t="n"/>
      <c r="I27" s="74" t="n"/>
      <c r="J27" s="74" t="n"/>
      <c r="K27" s="74" t="n"/>
      <c r="L27" s="74" t="n"/>
      <c r="M27" s="74" t="n"/>
      <c r="N27" s="75" t="n"/>
    </row>
  </sheetData>
  <mergeCells count="6">
    <mergeCell ref="A27:N27"/>
    <mergeCell ref="A26:N26"/>
    <mergeCell ref="A24:N24"/>
    <mergeCell ref="A2:N2"/>
    <mergeCell ref="A25:N25"/>
    <mergeCell ref="A1:N1"/>
  </mergeCells>
  <conditionalFormatting sqref="H6:H21">
    <cfRule type="cellIs" priority="1" operator="equal" dxfId="3">
      <formula>"绿灯"</formula>
    </cfRule>
    <cfRule type="cellIs" priority="2" operator="equal" dxfId="2">
      <formula>"黄灯"</formula>
    </cfRule>
    <cfRule type="cellIs" priority="3" operator="equal" dxfId="1">
      <formula>"红灯"</formula>
    </cfRule>
    <cfRule type="cellIs" priority="4" operator="equal" dxfId="0">
      <formula>"待更新"</formula>
    </cfRule>
    <cfRule type="expression" priority="5" dxfId="7">
      <formula>$H6="绿灯"</formula>
    </cfRule>
    <cfRule type="expression" priority="6" dxfId="8">
      <formula>$H6="黄灯"</formula>
    </cfRule>
    <cfRule type="expression" priority="7" dxfId="9">
      <formula>$H6="红灯"</formula>
    </cfRule>
    <cfRule type="expression" priority="8" dxfId="10">
      <formula>$H6="待更新"</formula>
    </cfRule>
    <cfRule type="cellIs" priority="9" operator="equal" dxfId="11">
      <formula>"绿灯"</formula>
    </cfRule>
    <cfRule type="cellIs" priority="10" operator="equal" dxfId="8">
      <formula>"黄灯"</formula>
    </cfRule>
    <cfRule type="cellIs" priority="11" operator="equal" dxfId="12">
      <formula>"红灯"</formula>
    </cfRule>
    <cfRule type="cellIs" priority="12" operator="equal" dxfId="10">
      <formula>"待更新"</formula>
    </cfRule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E5E9F2"/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3" min="1" max="1"/>
    <col width="10" customWidth="1" style="13" min="2" max="2"/>
    <col width="18" customWidth="1" style="13" min="3" max="3"/>
    <col width="60" customWidth="1" style="13" min="4" max="4"/>
    <col width="26" customWidth="1" style="13" min="5" max="5"/>
    <col width="70" customWidth="1" style="13" min="6" max="6"/>
  </cols>
  <sheetData>
    <row r="1" ht="24" customHeight="1" s="13">
      <c r="A1" s="76" t="inlineStr">
        <is>
          <t>Evidence ID</t>
        </is>
      </c>
      <c r="B1" s="76" t="inlineStr">
        <is>
          <t>指标ID</t>
        </is>
      </c>
      <c r="C1" s="76" t="inlineStr">
        <is>
          <t>媒体</t>
        </is>
      </c>
      <c r="D1" s="76" t="inlineStr">
        <is>
          <t>标题</t>
        </is>
      </c>
      <c r="E1" s="76" t="inlineStr">
        <is>
          <t>日期</t>
        </is>
      </c>
      <c r="F1" s="76" t="inlineStr">
        <is>
          <t>链接</t>
        </is>
      </c>
    </row>
    <row r="2">
      <c r="A2" s="69" t="n"/>
      <c r="B2" s="69" t="n"/>
      <c r="C2" s="69" t="n"/>
      <c r="D2" s="69" t="n"/>
      <c r="E2" s="69" t="n"/>
      <c r="F2" s="6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9D9D9"/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4.4"/>
  <cols>
    <col width="14" customWidth="1" style="13" min="1" max="1"/>
  </cols>
  <sheetData>
    <row r="1">
      <c r="A1" s="49" t="inlineStr">
        <is>
          <t>待更新</t>
        </is>
      </c>
    </row>
    <row r="2">
      <c r="A2" s="50" t="inlineStr">
        <is>
          <t>绿灯</t>
        </is>
      </c>
    </row>
    <row r="3">
      <c r="A3" s="51" t="inlineStr">
        <is>
          <t>黄灯</t>
        </is>
      </c>
    </row>
    <row r="4">
      <c r="A4" s="52" t="inlineStr">
        <is>
          <t>红灯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D9D9D9"/>
    <outlinePr summaryBelow="1" summaryRight="1"/>
    <pageSetUpPr/>
  </sheetPr>
  <dimension ref="A1:F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13" min="1" max="1"/>
    <col width="12" customWidth="1" style="13" min="2" max="2"/>
    <col width="26" customWidth="1" style="13" min="3" max="3"/>
    <col width="18" customWidth="1" style="13" min="4" max="4"/>
    <col width="24" customWidth="1" style="13" min="5" max="5"/>
    <col width="42" customWidth="1" style="13" min="6" max="6"/>
  </cols>
  <sheetData>
    <row r="1">
      <c r="A1" s="53" t="inlineStr">
        <is>
          <t>ID</t>
        </is>
      </c>
      <c r="B1" s="53" t="inlineStr">
        <is>
          <t>层级</t>
        </is>
      </c>
      <c r="C1" s="53" t="inlineStr">
        <is>
          <t>指标</t>
        </is>
      </c>
      <c r="D1" s="53" t="inlineStr">
        <is>
          <t>自动化方式</t>
        </is>
      </c>
      <c r="E1" s="53" t="inlineStr">
        <is>
          <t>主数据源</t>
        </is>
      </c>
      <c r="F1" s="53" t="inlineStr">
        <is>
          <t>说明</t>
        </is>
      </c>
    </row>
    <row r="2">
      <c r="A2" s="41" t="inlineStr">
        <is>
          <t>EW-01</t>
        </is>
      </c>
      <c r="B2" s="41" t="inlineStr">
        <is>
          <t>早期预警</t>
        </is>
      </c>
      <c r="C2" s="41" t="inlineStr">
        <is>
          <t>是否出现新的限赎 / Gate</t>
        </is>
      </c>
      <c r="D2" s="41" t="inlineStr">
        <is>
          <t>新闻聚类</t>
        </is>
      </c>
      <c r="E2" s="41" t="inlineStr">
        <is>
          <t>Google News RSS / 主流媒体</t>
        </is>
      </c>
      <c r="F2" s="41" t="inlineStr">
        <is>
          <t>新闻型指标请结合 Evidence sheet 复核；数值型指标由脚本自动写入状态依据。</t>
        </is>
      </c>
    </row>
    <row r="3">
      <c r="A3" s="41" t="inlineStr">
        <is>
          <t>EW-02</t>
        </is>
      </c>
      <c r="B3" s="41" t="inlineStr">
        <is>
          <t>早期预警</t>
        </is>
      </c>
      <c r="C3" s="41" t="inlineStr">
        <is>
          <t>相关资管股是否持续跑输</t>
        </is>
      </c>
      <c r="D3" s="41" t="inlineStr">
        <is>
          <t>数值直抓</t>
        </is>
      </c>
      <c r="E3" s="41" t="inlineStr">
        <is>
          <t>Stooq</t>
        </is>
      </c>
      <c r="F3" s="41" t="inlineStr">
        <is>
          <t>新闻型指标请结合 Evidence sheet 复核；数值型指标由脚本自动写入状态依据。</t>
        </is>
      </c>
    </row>
    <row r="4">
      <c r="A4" s="41" t="inlineStr">
        <is>
          <t>EW-03</t>
        </is>
      </c>
      <c r="B4" s="41" t="inlineStr">
        <is>
          <t>早期预警</t>
        </is>
      </c>
      <c r="C4" s="41" t="inlineStr">
        <is>
          <t>BDC 板块是否扩大折价</t>
        </is>
      </c>
      <c r="D4" s="41" t="inlineStr">
        <is>
          <t>代理数值</t>
        </is>
      </c>
      <c r="E4" s="41" t="inlineStr">
        <is>
          <t>Stooq</t>
        </is>
      </c>
      <c r="F4" s="41" t="inlineStr">
        <is>
          <t>新闻型指标请结合 Evidence sheet 复核；数值型指标由脚本自动写入状态依据。</t>
        </is>
      </c>
    </row>
    <row r="5">
      <c r="A5" s="41" t="inlineStr">
        <is>
          <t>EW-04</t>
        </is>
      </c>
      <c r="B5" s="41" t="inlineStr">
        <is>
          <t>早期预警</t>
        </is>
      </c>
      <c r="C5" s="41" t="inlineStr">
        <is>
          <t>HY / 杠杆贷款 / CLO 是否同步走弱</t>
        </is>
      </c>
      <c r="D5" s="41" t="inlineStr">
        <is>
          <t>数值直抓</t>
        </is>
      </c>
      <c r="E5" s="41" t="inlineStr">
        <is>
          <t>FRED + Stooq</t>
        </is>
      </c>
      <c r="F5" s="41" t="inlineStr">
        <is>
          <t>新闻型指标请结合 Evidence sheet 复核；数值型指标由脚本自动写入状态依据。</t>
        </is>
      </c>
    </row>
    <row r="6">
      <c r="A6" s="41" t="inlineStr">
        <is>
          <t>EW-05</t>
        </is>
      </c>
      <c r="B6" s="41" t="inlineStr">
        <is>
          <t>早期预警</t>
        </is>
      </c>
      <c r="C6" s="41" t="inlineStr">
        <is>
          <t>坏消息是否从个案变成簇发</t>
        </is>
      </c>
      <c r="D6" s="41" t="inlineStr">
        <is>
          <t>新闻聚类</t>
        </is>
      </c>
      <c r="E6" s="41" t="inlineStr">
        <is>
          <t>Google News RSS / 主流媒体</t>
        </is>
      </c>
      <c r="F6" s="41" t="inlineStr">
        <is>
          <t>新闻型指标请结合 Evidence sheet 复核；数值型指标由脚本自动写入状态依据。</t>
        </is>
      </c>
    </row>
    <row r="7">
      <c r="A7" s="41" t="inlineStr">
        <is>
          <t>TR-01</t>
        </is>
      </c>
      <c r="B7" s="41" t="inlineStr">
        <is>
          <t>中期传导</t>
        </is>
      </c>
      <c r="C7" s="41" t="inlineStr">
        <is>
          <t>违约 / 重组 / 展期是否增加</t>
        </is>
      </c>
      <c r="D7" s="41" t="inlineStr">
        <is>
          <t>新闻聚类</t>
        </is>
      </c>
      <c r="E7" s="41" t="inlineStr">
        <is>
          <t>Google News RSS / 主流媒体</t>
        </is>
      </c>
      <c r="F7" s="41" t="inlineStr">
        <is>
          <t>新闻型指标请结合 Evidence sheet 复核；数值型指标由脚本自动写入状态依据。</t>
        </is>
      </c>
    </row>
    <row r="8">
      <c r="A8" s="41" t="inlineStr">
        <is>
          <t>TR-02</t>
        </is>
      </c>
      <c r="B8" s="41" t="inlineStr">
        <is>
          <t>中期传导</t>
        </is>
      </c>
      <c r="C8" s="41" t="inlineStr">
        <is>
          <t>PIK 利息是否增多</t>
        </is>
      </c>
      <c r="D8" s="41" t="inlineStr">
        <is>
          <t>新闻聚类</t>
        </is>
      </c>
      <c r="E8" s="41" t="inlineStr">
        <is>
          <t>Google News RSS / 主流媒体</t>
        </is>
      </c>
      <c r="F8" s="41" t="inlineStr">
        <is>
          <t>新闻型指标请结合 Evidence sheet 复核；数值型指标由脚本自动写入状态依据。</t>
        </is>
      </c>
    </row>
    <row r="9">
      <c r="A9" s="41" t="inlineStr">
        <is>
          <t>TR-03</t>
        </is>
      </c>
      <c r="B9" s="41" t="inlineStr">
        <is>
          <t>中期传导</t>
        </is>
      </c>
      <c r="C9" s="41" t="inlineStr">
        <is>
          <t>NAV 是否开始连续下修</t>
        </is>
      </c>
      <c r="D9" s="41" t="inlineStr">
        <is>
          <t>代理数值</t>
        </is>
      </c>
      <c r="E9" s="41" t="inlineStr">
        <is>
          <t>Stooq</t>
        </is>
      </c>
      <c r="F9" s="41" t="inlineStr">
        <is>
          <t>新闻型指标请结合 Evidence sheet 复核；数值型指标由脚本自动写入状态依据。</t>
        </is>
      </c>
    </row>
    <row r="10">
      <c r="A10" s="41" t="inlineStr">
        <is>
          <t>TR-04</t>
        </is>
      </c>
      <c r="B10" s="41" t="inlineStr">
        <is>
          <t>中期传导</t>
        </is>
      </c>
      <c r="C10" s="41" t="inlineStr">
        <is>
          <t>新基金募资是否明显放缓</t>
        </is>
      </c>
      <c r="D10" s="41" t="inlineStr">
        <is>
          <t>新闻聚类</t>
        </is>
      </c>
      <c r="E10" s="41" t="inlineStr">
        <is>
          <t>Google News RSS / 主流媒体</t>
        </is>
      </c>
      <c r="F10" s="41" t="inlineStr">
        <is>
          <t>新闻型指标请结合 Evidence sheet 复核；数值型指标由脚本自动写入状态依据。</t>
        </is>
      </c>
    </row>
    <row r="11">
      <c r="A11" s="41" t="inlineStr">
        <is>
          <t>TR-05</t>
        </is>
      </c>
      <c r="B11" s="41" t="inlineStr">
        <is>
          <t>中期传导</t>
        </is>
      </c>
      <c r="C11" s="41" t="inlineStr">
        <is>
          <t>新交易条款是否重新收紧</t>
        </is>
      </c>
      <c r="D11" s="41" t="inlineStr">
        <is>
          <t>新闻聚类</t>
        </is>
      </c>
      <c r="E11" s="41" t="inlineStr">
        <is>
          <t>Google News RSS / 主流媒体</t>
        </is>
      </c>
      <c r="F11" s="41" t="inlineStr">
        <is>
          <t>新闻型指标请结合 Evidence sheet 复核；数值型指标由脚本自动写入状态依据。</t>
        </is>
      </c>
    </row>
    <row r="12">
      <c r="A12" s="41" t="inlineStr">
        <is>
          <t>TR-06</t>
        </is>
      </c>
      <c r="B12" s="41" t="inlineStr">
        <is>
          <t>中期传导</t>
        </is>
      </c>
      <c r="C12" s="41" t="inlineStr">
        <is>
          <t>仓储融资 / 回购 / 过桥融资成本是否抬升</t>
        </is>
      </c>
      <c r="D12" s="41" t="inlineStr">
        <is>
          <t>代理数值</t>
        </is>
      </c>
      <c r="E12" s="41" t="inlineStr">
        <is>
          <t>FRED</t>
        </is>
      </c>
      <c r="F12" s="41" t="inlineStr">
        <is>
          <t>新闻型指标请结合 Evidence sheet 复核；数值型指标由脚本自动写入状态依据。</t>
        </is>
      </c>
    </row>
    <row r="13">
      <c r="A13" s="41" t="inlineStr">
        <is>
          <t>SY-01</t>
        </is>
      </c>
      <c r="B13" s="41" t="inlineStr">
        <is>
          <t>系统确认</t>
        </is>
      </c>
      <c r="C13" s="41" t="inlineStr">
        <is>
          <t>银行是否收紧对相关领域授信</t>
        </is>
      </c>
      <c r="D13" s="41" t="inlineStr">
        <is>
          <t>代理数值</t>
        </is>
      </c>
      <c r="E13" s="41" t="inlineStr">
        <is>
          <t>FRED + Stooq</t>
        </is>
      </c>
      <c r="F13" s="41" t="inlineStr">
        <is>
          <t>新闻型指标请结合 Evidence sheet 复核；数值型指标由脚本自动写入状态依据。</t>
        </is>
      </c>
    </row>
    <row r="14">
      <c r="A14" s="41" t="inlineStr">
        <is>
          <t>SY-02</t>
        </is>
      </c>
      <c r="B14" s="41" t="inlineStr">
        <is>
          <t>系统确认</t>
        </is>
      </c>
      <c r="C14" s="41" t="inlineStr">
        <is>
          <t>银行拨备 / 风险准备是否上升</t>
        </is>
      </c>
      <c r="D14" s="41" t="inlineStr">
        <is>
          <t>混合：新闻+代理数值</t>
        </is>
      </c>
      <c r="E14" s="41" t="inlineStr">
        <is>
          <t>Google News RSS + Stooq</t>
        </is>
      </c>
      <c r="F14" s="41" t="inlineStr">
        <is>
          <t>新闻型指标请结合 Evidence sheet 复核；数值型指标由脚本自动写入状态依据。</t>
        </is>
      </c>
    </row>
    <row r="15">
      <c r="A15" s="41" t="inlineStr">
        <is>
          <t>SY-03</t>
        </is>
      </c>
      <c r="B15" s="41" t="inlineStr">
        <is>
          <t>系统确认</t>
        </is>
      </c>
      <c r="C15" s="41" t="inlineStr">
        <is>
          <t>保险 / 养老金是否减配</t>
        </is>
      </c>
      <c r="D15" s="41" t="inlineStr">
        <is>
          <t>新闻聚类</t>
        </is>
      </c>
      <c r="E15" s="41" t="inlineStr">
        <is>
          <t>Google News RSS / 主流媒体</t>
        </is>
      </c>
      <c r="F15" s="41" t="inlineStr">
        <is>
          <t>新闻型指标请结合 Evidence sheet 复核；数值型指标由脚本自动写入状态依据。</t>
        </is>
      </c>
    </row>
    <row r="16">
      <c r="A16" s="41" t="inlineStr">
        <is>
          <t>SY-04</t>
        </is>
      </c>
      <c r="B16" s="41" t="inlineStr">
        <is>
          <t>系统确认</t>
        </is>
      </c>
      <c r="C16" s="41" t="inlineStr">
        <is>
          <t>压力是否扩散到 IG / 银行信用利差</t>
        </is>
      </c>
      <c r="D16" s="41" t="inlineStr">
        <is>
          <t>数值直抓</t>
        </is>
      </c>
      <c r="E16" s="41" t="inlineStr">
        <is>
          <t>FRED + Stooq</t>
        </is>
      </c>
      <c r="F16" s="41" t="inlineStr">
        <is>
          <t>新闻型指标请结合 Evidence sheet 复核；数值型指标由脚本自动写入状态依据。</t>
        </is>
      </c>
    </row>
    <row r="17">
      <c r="A17" s="41" t="inlineStr">
        <is>
          <t>SY-05</t>
        </is>
      </c>
      <c r="B17" s="41" t="inlineStr">
        <is>
          <t>系统确认</t>
        </is>
      </c>
      <c r="C17" s="41" t="inlineStr">
        <is>
          <t>中小企业再融资是否明显失败</t>
        </is>
      </c>
      <c r="D17" s="41" t="inlineStr">
        <is>
          <t>新闻聚类</t>
        </is>
      </c>
      <c r="E17" s="41" t="inlineStr">
        <is>
          <t>Google News RSS / 主流媒体</t>
        </is>
      </c>
      <c r="F17" s="41" t="inlineStr">
        <is>
          <t>新闻型指标请结合 Evidence sheet 复核；数值型指标由脚本自动写入状态依据。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2026-03-09T21:53:03Z</dcterms:created>
  <dcterms:modified xmlns:dcterms="http://purl.org/dc/terms/" xmlns:xsi="http://www.w3.org/2001/XMLSchema-instance" xsi:type="dcterms:W3CDTF">2026-03-09T22:03:41Z</dcterms:modified>
  <cp:lastModifiedBy>Ding Daryl</cp:lastModifiedBy>
</cp:coreProperties>
</file>